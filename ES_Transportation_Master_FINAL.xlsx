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OG" sheetId="1" state="visible" r:id="rId1"/>
    <sheet xmlns:r="http://schemas.openxmlformats.org/officeDocument/2006/relationships" name="PRINT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Date Added</t>
        </is>
      </c>
      <c r="B1" s="1" t="inlineStr">
        <is>
          <t>Order #</t>
        </is>
      </c>
      <c r="C1" s="1" t="inlineStr">
        <is>
          <t>Order Date</t>
        </is>
      </c>
      <c r="D1" s="1" t="inlineStr">
        <is>
          <t>Client Name</t>
        </is>
      </c>
      <c r="E1" s="1" t="inlineStr">
        <is>
          <t>Client Phone</t>
        </is>
      </c>
      <c r="F1" s="1" t="inlineStr">
        <is>
          <t>Client Email</t>
        </is>
      </c>
      <c r="G1" s="1" t="inlineStr">
        <is>
          <t>Referred By</t>
        </is>
      </c>
      <c r="H1" s="1" t="inlineStr">
        <is>
          <t>Service Type</t>
        </is>
      </c>
      <c r="I1" s="1" t="inlineStr">
        <is>
          <t>Pickup Address</t>
        </is>
      </c>
      <c r="J1" s="1" t="inlineStr">
        <is>
          <t>Delivery Address</t>
        </is>
      </c>
      <c r="K1" s="1" t="inlineStr">
        <is>
          <t>Item Description</t>
        </is>
      </c>
      <c r="L1" s="1" t="inlineStr">
        <is>
          <t>Pickup Date</t>
        </is>
      </c>
      <c r="M1" s="1" t="inlineStr">
        <is>
          <t>Pickup Time</t>
        </is>
      </c>
      <c r="N1" s="1" t="inlineStr">
        <is>
          <t>Delivery Attempt</t>
        </is>
      </c>
      <c r="O1" s="1" t="inlineStr">
        <is>
          <t>Reschedule</t>
        </is>
      </c>
      <c r="P1" s="1" t="inlineStr">
        <is>
          <t>Reschedule Fee</t>
        </is>
      </c>
      <c r="Q1" s="1" t="inlineStr">
        <is>
          <t>Base Rate</t>
        </is>
      </c>
      <c r="R1" s="1" t="inlineStr">
        <is>
          <t>Rush Fee</t>
        </is>
      </c>
      <c r="S1" s="1" t="inlineStr">
        <is>
          <t>Extra Stop</t>
        </is>
      </c>
      <c r="T1" s="1" t="inlineStr">
        <is>
          <t>Extra Stop Fee</t>
        </is>
      </c>
      <c r="U1" s="1" t="inlineStr">
        <is>
          <t>Extended Area Fee</t>
        </is>
      </c>
      <c r="V1" s="1" t="inlineStr">
        <is>
          <t>Discount Type</t>
        </is>
      </c>
      <c r="W1" s="1" t="inlineStr">
        <is>
          <t>Discount Amount</t>
        </is>
      </c>
      <c r="X1" s="1" t="inlineStr">
        <is>
          <t>Total Trip Cost</t>
        </is>
      </c>
      <c r="Y1" s="1" t="inlineStr">
        <is>
          <t>Booking Fee Paid</t>
        </is>
      </c>
      <c r="Z1" s="1" t="inlineStr">
        <is>
          <t>Balance Before Adjustments</t>
        </is>
      </c>
      <c r="AA1" s="1" t="inlineStr">
        <is>
          <t>Final Balance Due</t>
        </is>
      </c>
      <c r="AB1" s="1" t="inlineStr">
        <is>
          <t>Order Status</t>
        </is>
      </c>
      <c r="AC1" s="1" t="inlineStr">
        <is>
          <t>Date Paid</t>
        </is>
      </c>
      <c r="AD1" s="1" t="inlineStr">
        <is>
          <t>Payment Method</t>
        </is>
      </c>
      <c r="AE1" s="1" t="inlineStr">
        <is>
          <t>Receipt Provided</t>
        </is>
      </c>
      <c r="AF1" s="1" t="inlineStr">
        <is>
          <t>Refund Amount</t>
        </is>
      </c>
      <c r="AG1" s="1" t="inlineStr">
        <is>
          <t>Referral Credit Earned (Referrer)</t>
        </is>
      </c>
      <c r="AH1" s="1" t="inlineStr">
        <is>
          <t>Referral Credit Earned (Referred)</t>
        </is>
      </c>
      <c r="AI1" s="1" t="inlineStr">
        <is>
          <t>Referral Credit Used</t>
        </is>
      </c>
      <c r="AJ1" s="1" t="inlineStr">
        <is>
          <t>Total Paid Orders</t>
        </is>
      </c>
      <c r="AK1" s="1" t="inlineStr">
        <is>
          <t>Loyalty Used</t>
        </is>
      </c>
      <c r="AL1" s="1" t="inlineStr">
        <is>
          <t>Loyalty Available</t>
        </is>
      </c>
      <c r="AM1" s="1" t="inlineStr">
        <is>
          <t>Loyalty READY</t>
        </is>
      </c>
      <c r="AN1" s="1" t="inlineStr">
        <is>
          <t>Notes</t>
        </is>
      </c>
    </row>
    <row r="2">
      <c r="P2">
        <f>IF(O2="Yes",10,0)</f>
        <v/>
      </c>
      <c r="T2">
        <f>IF(S2="Yes",10,0)</f>
        <v/>
      </c>
      <c r="X2">
        <f>Q2+R2+T2+U2-W2</f>
        <v/>
      </c>
      <c r="Z2">
        <f>X2-Y2</f>
        <v/>
      </c>
      <c r="AA2">
        <f>Z2+P2</f>
        <v/>
      </c>
    </row>
  </sheetData>
  <conditionalFormatting sqref="A2:AN500">
    <cfRule type="expression" priority="1" dxfId="0">
      <formula>AND($B2&lt;&gt;"",$K2="")</formula>
    </cfRule>
    <cfRule type="expression" priority="2" dxfId="1">
      <formula>$AM2="YES"</formula>
    </cfRule>
  </conditionalFormatting>
  <dataValidations count="4">
    <dataValidation sqref="H2:H500" showDropDown="0" showInputMessage="0" showErrorMessage="0" allowBlank="0" type="list">
      <formula1>"Rush,Standard,Next Day"</formula1>
    </dataValidation>
    <dataValidation sqref="AB2:AB500" showDropDown="0" showInputMessage="0" showErrorMessage="0" allowBlank="0" type="list">
      <formula1>"Unpaid,Paid,Cancelled – Refunded $10,Cancelled – No Refund,No Show,Returned to Pickup"</formula1>
    </dataValidation>
    <dataValidation sqref="O2:O500 S2:S500" showDropDown="0" showInputMessage="0" showErrorMessage="0" allowBlank="0" type="list">
      <formula1>"Yes,No"</formula1>
    </dataValidation>
    <dataValidation sqref="N2:N500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2" t="inlineStr">
        <is>
          <t>Select Order #:</t>
        </is>
      </c>
    </row>
    <row r="3" ht="22" customHeight="1">
      <c r="A3" s="2" t="inlineStr">
        <is>
          <t>Order #</t>
        </is>
      </c>
      <c r="B3">
        <f>IFERROR(VLOOKUP($B$1,'ORDER LOG'!$B$2:$AN$500,1,FALSE),"")</f>
        <v/>
      </c>
    </row>
    <row r="4" ht="22" customHeight="1">
      <c r="A4" s="2" t="inlineStr">
        <is>
          <t>Client Name</t>
        </is>
      </c>
      <c r="B4">
        <f>IFERROR(VLOOKUP($B$1,'ORDER LOG'!$B$2:$AN$500,2,FALSE),"")</f>
        <v/>
      </c>
    </row>
    <row r="5" ht="22" customHeight="1">
      <c r="A5" s="2" t="inlineStr">
        <is>
          <t>Pickup Address</t>
        </is>
      </c>
      <c r="B5">
        <f>IFERROR(VLOOKUP($B$1,'ORDER LOG'!$B$2:$AN$500,3,FALSE),"")</f>
        <v/>
      </c>
    </row>
    <row r="6" ht="22" customHeight="1">
      <c r="A6" s="2" t="inlineStr">
        <is>
          <t>Delivery Address</t>
        </is>
      </c>
      <c r="B6">
        <f>IFERROR(VLOOKUP($B$1,'ORDER LOG'!$B$2:$AN$500,4,FALSE),"")</f>
        <v/>
      </c>
    </row>
    <row r="7" ht="22" customHeight="1">
      <c r="A7" s="2" t="inlineStr">
        <is>
          <t>Item Description</t>
        </is>
      </c>
      <c r="B7">
        <f>IFERROR(VLOOKUP($B$1,'ORDER LOG'!$B$2:$AN$500,5,FALSE),"")</f>
        <v/>
      </c>
    </row>
    <row r="8" ht="22" customHeight="1">
      <c r="A8" s="2" t="inlineStr">
        <is>
          <t>Service Type</t>
        </is>
      </c>
      <c r="B8">
        <f>IFERROR(VLOOKUP($B$1,'ORDER LOG'!$B$2:$AN$500,6,FALSE),"")</f>
        <v/>
      </c>
    </row>
    <row r="9" ht="22" customHeight="1">
      <c r="A9" s="2" t="inlineStr">
        <is>
          <t>Base Rate</t>
        </is>
      </c>
      <c r="B9">
        <f>IFERROR(VLOOKUP($B$1,'ORDER LOG'!$B$2:$AN$500,7,FALSE),"")</f>
        <v/>
      </c>
    </row>
    <row r="10" ht="22" customHeight="1">
      <c r="A10" s="2" t="inlineStr">
        <is>
          <t>Rush Fee</t>
        </is>
      </c>
      <c r="B10">
        <f>IFERROR(VLOOKUP($B$1,'ORDER LOG'!$B$2:$AN$500,8,FALSE),"")</f>
        <v/>
      </c>
    </row>
    <row r="11" ht="22" customHeight="1">
      <c r="A11" s="2" t="inlineStr">
        <is>
          <t>Extra Stop Fee</t>
        </is>
      </c>
      <c r="B11">
        <f>IFERROR(VLOOKUP($B$1,'ORDER LOG'!$B$2:$AN$500,9,FALSE),"")</f>
        <v/>
      </c>
    </row>
    <row r="12" ht="22" customHeight="1">
      <c r="A12" s="2" t="inlineStr">
        <is>
          <t>Extended Area Fee</t>
        </is>
      </c>
      <c r="B12">
        <f>IFERROR(VLOOKUP($B$1,'ORDER LOG'!$B$2:$AN$500,10,FALSE),"")</f>
        <v/>
      </c>
    </row>
    <row r="13" ht="22" customHeight="1">
      <c r="A13" s="2" t="inlineStr">
        <is>
          <t>Discount Type</t>
        </is>
      </c>
      <c r="B13">
        <f>IFERROR(VLOOKUP($B$1,'ORDER LOG'!$B$2:$AN$500,11,FALSE),"")</f>
        <v/>
      </c>
    </row>
    <row r="14" ht="22" customHeight="1">
      <c r="A14" s="2" t="inlineStr">
        <is>
          <t>Discount Amount</t>
        </is>
      </c>
      <c r="B14">
        <f>IFERROR(VLOOKUP($B$1,'ORDER LOG'!$B$2:$AN$500,12,FALSE),"")</f>
        <v/>
      </c>
    </row>
    <row r="15" ht="22" customHeight="1">
      <c r="A15" s="2" t="inlineStr">
        <is>
          <t>Total Trip Cost</t>
        </is>
      </c>
      <c r="B15">
        <f>IFERROR(VLOOKUP($B$1,'ORDER LOG'!$B$2:$AN$500,13,FALSE),"")</f>
        <v/>
      </c>
    </row>
    <row r="16" ht="22" customHeight="1">
      <c r="A16" s="2" t="inlineStr">
        <is>
          <t>Booking Fee Paid</t>
        </is>
      </c>
      <c r="B16">
        <f>IFERROR(VLOOKUP($B$1,'ORDER LOG'!$B$2:$AN$500,14,FALSE),"")</f>
        <v/>
      </c>
    </row>
    <row r="17" ht="22" customHeight="1">
      <c r="A17" s="2" t="inlineStr">
        <is>
          <t>Reschedule Fee</t>
        </is>
      </c>
      <c r="B17">
        <f>IFERROR(VLOOKUP($B$1,'ORDER LOG'!$B$2:$AN$500,15,FALSE),"")</f>
        <v/>
      </c>
    </row>
    <row r="18" ht="22" customHeight="1">
      <c r="A18" s="2" t="inlineStr">
        <is>
          <t>Final Balance Due</t>
        </is>
      </c>
      <c r="B18">
        <f>IFERROR(VLOOKUP($B$1,'ORDER LOG'!$B$2:$AN$500,16,FALSE),"")</f>
        <v/>
      </c>
    </row>
    <row r="19" ht="22" customHeight="1">
      <c r="A19" s="2" t="inlineStr">
        <is>
          <t>Order Status</t>
        </is>
      </c>
      <c r="B19">
        <f>IFERROR(VLOOKUP($B$1,'ORDER LOG'!$B$2:$AN$500,17,FALSE),"")</f>
        <v/>
      </c>
    </row>
    <row r="20" ht="22" customHeight="1">
      <c r="A20" s="2" t="inlineStr">
        <is>
          <t>Date Paid</t>
        </is>
      </c>
      <c r="B20">
        <f>IFERROR(VLOOKUP($B$1,'ORDER LOG'!$B$2:$AN$500,18,FALSE),"")</f>
        <v/>
      </c>
    </row>
    <row r="21" ht="22" customHeight="1">
      <c r="A21" s="2" t="inlineStr">
        <is>
          <t>Payment Method</t>
        </is>
      </c>
      <c r="B21">
        <f>IFERROR(VLOOKUP($B$1,'ORDER LOG'!$B$2:$AN$500,19,FALSE),"")</f>
        <v/>
      </c>
    </row>
    <row r="22" ht="22" customHeight="1">
      <c r="A22" s="2" t="inlineStr">
        <is>
          <t>Refund Amount</t>
        </is>
      </c>
      <c r="B22">
        <f>IFERROR(VLOOKUP($B$1,'ORDER LOG'!$B$2:$AN$500,20,FALSE),"")</f>
        <v/>
      </c>
    </row>
    <row r="23" ht="22" customHeight="1">
      <c r="A23" s="2" t="inlineStr">
        <is>
          <t>Referral Earned (Referrer)</t>
        </is>
      </c>
      <c r="B23">
        <f>IFERROR(VLOOKUP($B$1,'ORDER LOG'!$B$2:$AN$500,21,FALSE),"")</f>
        <v/>
      </c>
    </row>
    <row r="24" ht="22" customHeight="1">
      <c r="A24" s="2" t="inlineStr">
        <is>
          <t>Referral Earned (Referred)</t>
        </is>
      </c>
      <c r="B24">
        <f>IFERROR(VLOOKUP($B$1,'ORDER LOG'!$B$2:$AN$500,22,FALSE),"")</f>
        <v/>
      </c>
    </row>
    <row r="25" ht="22" customHeight="1">
      <c r="A25" s="2" t="inlineStr">
        <is>
          <t>Referral Used</t>
        </is>
      </c>
      <c r="B25">
        <f>IFERROR(VLOOKUP($B$1,'ORDER LOG'!$B$2:$AN$500,23,FALSE),"")</f>
        <v/>
      </c>
    </row>
    <row r="26" ht="22" customHeight="1">
      <c r="A26" s="2" t="inlineStr">
        <is>
          <t>Loyalty READY</t>
        </is>
      </c>
      <c r="B26">
        <f>IFERROR(VLOOKUP($B$1,'ORDER LOG'!$B$2:$AN$500,24,FALSE),"")</f>
        <v/>
      </c>
    </row>
    <row r="27" ht="22" customHeight="1">
      <c r="A27" s="2" t="inlineStr">
        <is>
          <t>Notes</t>
        </is>
      </c>
      <c r="B27">
        <f>IFERROR(VLOOKUP($B$1,'ORDER LOG'!$B$2:$AN$500,25,FALSE),"")</f>
        <v/>
      </c>
    </row>
  </sheetData>
  <dataValidations count="1">
    <dataValidation sqref="B1" showDropDown="0" showInputMessage="0" showErrorMessage="0" allowBlank="0" type="list">
      <formula1>='ORDER LOG'!B2:B500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2026-02-20T00:51:29Z</dcterms:created>
  <dcterms:modified xmlns:dcterms="http://purl.org/dc/terms/" xmlns:xsi="http://www.w3.org/2001/XMLSchema-instance" xsi:type="dcterms:W3CDTF">2026-02-20T00:51:29Z</dcterms:modified>
</cp:coreProperties>
</file>